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AVX256" sheetId="1" r:id="rId1"/>
    <sheet name="AVX512" sheetId="2" r:id="rId2"/>
    <sheet name="GEM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<sst xmlns="http://schemas.openxmlformats.org/spreadsheetml/2006/main" count="25" uniqueCount="15">
  <si>
    <r>
      <rPr>
        <sz val="11"/>
        <color theme="1"/>
        <rFont val="宋体"/>
        <charset val="134"/>
        <scheme val="minor"/>
      </rPr>
      <t>AVX256有</t>
    </r>
    <r>
      <rPr>
        <b/>
        <sz val="11"/>
        <color rgb="FFFF0000"/>
        <rFont val="宋体"/>
        <charset val="134"/>
        <scheme val="minor"/>
      </rPr>
      <t>16</t>
    </r>
    <r>
      <rPr>
        <sz val="11"/>
        <color theme="1"/>
        <rFont val="宋体"/>
        <charset val="134"/>
        <scheme val="minor"/>
      </rPr>
      <t>个YMM寄存器</t>
    </r>
  </si>
  <si>
    <t>矩阵乘法：C(m,n)=A(m,k)*B(k,n)</t>
  </si>
  <si>
    <t>行数M</t>
  </si>
  <si>
    <t>列数N</t>
  </si>
  <si>
    <t>A广播</t>
  </si>
  <si>
    <t>B加载</t>
  </si>
  <si>
    <t>C矩阵</t>
  </si>
  <si>
    <t>寄存器数</t>
  </si>
  <si>
    <r>
      <rPr>
        <sz val="11"/>
        <color theme="1"/>
        <rFont val="宋体"/>
        <charset val="134"/>
        <scheme val="minor"/>
      </rPr>
      <t>AVX512有</t>
    </r>
    <r>
      <rPr>
        <b/>
        <sz val="11"/>
        <color rgb="FFFF0000"/>
        <rFont val="宋体"/>
        <charset val="134"/>
        <scheme val="minor"/>
      </rPr>
      <t>32</t>
    </r>
    <r>
      <rPr>
        <sz val="11"/>
        <color theme="1"/>
        <rFont val="宋体"/>
        <charset val="134"/>
        <scheme val="minor"/>
      </rPr>
      <t>个ZMM寄存器</t>
    </r>
  </si>
  <si>
    <r>
      <rPr>
        <sz val="11"/>
        <color theme="1"/>
        <rFont val="宋体"/>
        <charset val="134"/>
        <scheme val="minor"/>
      </rPr>
      <t>L1缓存通常是</t>
    </r>
    <r>
      <rPr>
        <b/>
        <sz val="11"/>
        <color rgb="FFFF0000"/>
        <rFont val="宋体"/>
        <charset val="134"/>
        <scheme val="minor"/>
      </rPr>
      <t>32</t>
    </r>
    <r>
      <rPr>
        <sz val="11"/>
        <color theme="1"/>
        <rFont val="宋体"/>
        <charset val="134"/>
        <scheme val="minor"/>
      </rPr>
      <t>KB(32768)大小</t>
    </r>
  </si>
  <si>
    <t>中间K</t>
  </si>
  <si>
    <t>矩阵A</t>
  </si>
  <si>
    <t>矩阵B</t>
  </si>
  <si>
    <t>矩阵C</t>
  </si>
  <si>
    <t>总大小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</si>
</sst>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1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2">
      <alignment vertical="center"/>
    </xf>
    <xf numFmtId="0" fontId="11" fillId="0" borderId="2">
      <alignment vertical="center"/>
    </xf>
    <xf numFmtId="0" fontId="12" fillId="0" borderId="3">
      <alignment vertical="center"/>
    </xf>
    <xf numFmtId="0" fontId="12" fillId="0" borderId="0">
      <alignment vertical="center"/>
    </xf>
    <xf numFmtId="0" fontId="13" fillId="3" borderId="4">
      <alignment vertical="center"/>
    </xf>
    <xf numFmtId="0" fontId="14" fillId="4" borderId="5">
      <alignment vertical="center"/>
    </xf>
    <xf numFmtId="0" fontId="15" fillId="4" borderId="4">
      <alignment vertical="center"/>
    </xf>
    <xf numFmtId="0" fontId="16" fillId="5" borderId="6">
      <alignment vertical="center"/>
    </xf>
    <xf numFmtId="0" fontId="17" fillId="0" borderId="7">
      <alignment vertical="center"/>
    </xf>
    <xf numFmtId="0" fontId="18" fillId="0" borderId="8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8"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zoomScale="250" zoomScaleNormal="250" workbookViewId="0">
      <selection activeCell="F7" sqref="F7"/>
    </sheetView>
  </sheetViews>
  <sheetFormatPr defaultColWidth="9" defaultRowHeight="14.4" outlineLevelCol="5"/>
  <cols>
    <col min="1" max="5" width="6.66666666666667" customWidth="1"/>
    <col min="6" max="6" width="9.66666666666667" customWidth="1"/>
  </cols>
  <sheetData>
    <row r="1" spans="1:6">
      <c r="B1" s="1" t="s">
        <v>0</v>
      </c>
      <c r="C1" s="2"/>
      <c r="D1" s="2"/>
      <c r="E1" s="2"/>
    </row>
    <row r="2" spans="1:6">
      <c r="A2" s="2" t="s">
        <v>1</v>
      </c>
      <c r="B2" s="2"/>
      <c r="C2" s="2"/>
      <c r="D2" s="2"/>
      <c r="E2" s="2"/>
      <c r="F2" s="2"/>
    </row>
    <row r="3" spans="1:6">
      <c r="A3" t="s">
        <v>2</v>
      </c>
      <c r="B3" t="s">
        <v>3</v>
      </c>
      <c r="C3" s="3" t="s">
        <v>4</v>
      </c>
      <c r="D3" s="3" t="s">
        <v>5</v>
      </c>
      <c r="E3" s="3" t="s">
        <v>6</v>
      </c>
      <c r="F3" t="s">
        <v>7</v>
      </c>
    </row>
    <row r="4" spans="1:6">
      <c r="A4" s="7">
        <v>1</v>
      </c>
      <c r="B4" s="7">
        <v>4</v>
      </c>
      <c r="C4" s="7">
        <f t="shared" ref="C4:C10" si="0">A4</f>
        <v>1</v>
      </c>
      <c r="D4" s="7">
        <f t="shared" ref="D4:D10" si="1">CEILING(B4/4,1)</f>
        <v>1</v>
      </c>
      <c r="E4" s="7">
        <f t="shared" ref="E4:E10" si="2">C4*D4</f>
        <v>1</v>
      </c>
      <c r="F4" s="7">
        <f t="shared" ref="F4:F10" si="3">SUM(C4:E4)</f>
        <v>3</v>
      </c>
    </row>
    <row r="5" spans="1:6">
      <c r="A5" s="7">
        <v>1</v>
      </c>
      <c r="B5" s="7">
        <v>8</v>
      </c>
      <c r="C5" s="7">
        <f t="shared" si="0"/>
        <v>1</v>
      </c>
      <c r="D5" s="7">
        <f t="shared" si="1"/>
        <v>2</v>
      </c>
      <c r="E5" s="7">
        <f t="shared" si="2"/>
        <v>2</v>
      </c>
      <c r="F5" s="7">
        <f t="shared" si="3"/>
        <v>5</v>
      </c>
    </row>
    <row r="6" spans="1:6">
      <c r="A6" s="7">
        <v>4</v>
      </c>
      <c r="B6" s="7">
        <v>4</v>
      </c>
      <c r="C6" s="7">
        <f t="shared" si="0"/>
        <v>4</v>
      </c>
      <c r="D6" s="7">
        <f t="shared" si="1"/>
        <v>1</v>
      </c>
      <c r="E6" s="7">
        <f t="shared" si="2"/>
        <v>4</v>
      </c>
      <c r="F6" s="7">
        <f t="shared" si="3"/>
        <v>9</v>
      </c>
    </row>
    <row r="7" spans="1:6">
      <c r="A7" s="4">
        <v>4</v>
      </c>
      <c r="B7" s="4">
        <v>8</v>
      </c>
      <c r="C7" s="4">
        <f t="shared" si="0"/>
        <v>4</v>
      </c>
      <c r="D7" s="4">
        <f t="shared" si="1"/>
        <v>2</v>
      </c>
      <c r="E7" s="4">
        <f t="shared" si="2"/>
        <v>8</v>
      </c>
      <c r="F7" s="4">
        <f t="shared" si="3"/>
        <v>14</v>
      </c>
    </row>
    <row r="8" spans="1:6">
      <c r="A8">
        <v>5</v>
      </c>
      <c r="B8">
        <v>8</v>
      </c>
      <c r="C8">
        <f t="shared" si="0"/>
        <v>5</v>
      </c>
      <c r="D8">
        <f t="shared" si="1"/>
        <v>2</v>
      </c>
      <c r="E8">
        <f t="shared" si="2"/>
        <v>10</v>
      </c>
      <c r="F8">
        <f t="shared" si="3"/>
        <v>17</v>
      </c>
    </row>
    <row r="9" spans="1:6">
      <c r="A9" s="7">
        <v>4</v>
      </c>
      <c r="B9" s="7">
        <v>12</v>
      </c>
      <c r="C9" s="7">
        <f t="shared" si="0"/>
        <v>4</v>
      </c>
      <c r="D9" s="7">
        <f t="shared" si="1"/>
        <v>3</v>
      </c>
      <c r="E9" s="7">
        <f t="shared" si="2"/>
        <v>12</v>
      </c>
      <c r="F9" s="7">
        <f t="shared" si="3"/>
        <v>19</v>
      </c>
    </row>
    <row r="10" spans="1:6">
      <c r="A10">
        <v>8</v>
      </c>
      <c r="B10">
        <v>8</v>
      </c>
      <c r="C10" s="7">
        <f t="shared" si="0"/>
        <v>8</v>
      </c>
      <c r="D10" s="7">
        <f t="shared" si="1"/>
        <v>2</v>
      </c>
      <c r="E10" s="7">
        <f t="shared" si="2"/>
        <v>16</v>
      </c>
      <c r="F10" s="7">
        <f t="shared" si="3"/>
        <v>26</v>
      </c>
    </row>
  </sheetData>
  <mergeCells count="2">
    <mergeCell ref="B1:E1"/>
    <mergeCell ref="A2:F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zoomScale="220" zoomScaleNormal="220" workbookViewId="0">
      <selection activeCell="F7" sqref="F7"/>
    </sheetView>
  </sheetViews>
  <sheetFormatPr defaultColWidth="9" defaultRowHeight="14.4" outlineLevelCol="5"/>
  <cols>
    <col min="1" max="5" width="6.66666666666667" customWidth="1"/>
  </cols>
  <sheetData>
    <row r="1" spans="1:6">
      <c r="B1" s="1" t="s">
        <v>8</v>
      </c>
      <c r="C1" s="2"/>
      <c r="D1" s="2"/>
      <c r="E1" s="2"/>
    </row>
    <row r="2" spans="1:6">
      <c r="A2" s="2" t="s">
        <v>1</v>
      </c>
      <c r="B2" s="2"/>
      <c r="C2" s="2"/>
      <c r="D2" s="2"/>
      <c r="E2" s="2"/>
      <c r="F2" s="2"/>
    </row>
    <row r="3" spans="1:6">
      <c r="A3" t="s">
        <v>2</v>
      </c>
      <c r="B3" t="s">
        <v>3</v>
      </c>
      <c r="C3" s="3" t="s">
        <v>4</v>
      </c>
      <c r="D3" s="3" t="s">
        <v>5</v>
      </c>
      <c r="E3" s="3" t="s">
        <v>6</v>
      </c>
      <c r="F3" t="s">
        <v>7</v>
      </c>
    </row>
    <row r="4" spans="1:6">
      <c r="A4">
        <v>4</v>
      </c>
      <c r="B4">
        <v>8</v>
      </c>
      <c r="C4">
        <f t="shared" ref="C4:C12" si="0">A4</f>
        <v>4</v>
      </c>
      <c r="D4">
        <f t="shared" ref="D4:D12" si="1">CEILING(B4/8,1)</f>
        <v>1</v>
      </c>
      <c r="E4">
        <f t="shared" ref="E4:E12" si="2">C4*D4</f>
        <v>4</v>
      </c>
      <c r="F4">
        <f t="shared" ref="F4:F12" si="3">SUM(C4:E4)</f>
        <v>9</v>
      </c>
    </row>
    <row r="5" spans="1:6">
      <c r="A5">
        <v>4</v>
      </c>
      <c r="B5">
        <v>16</v>
      </c>
      <c r="C5">
        <f t="shared" si="0"/>
        <v>4</v>
      </c>
      <c r="D5">
        <f t="shared" si="1"/>
        <v>2</v>
      </c>
      <c r="E5">
        <f t="shared" si="2"/>
        <v>8</v>
      </c>
      <c r="F5">
        <f t="shared" si="3"/>
        <v>14</v>
      </c>
    </row>
    <row r="6" spans="1:6">
      <c r="A6">
        <v>4</v>
      </c>
      <c r="B6">
        <v>24</v>
      </c>
      <c r="C6">
        <f t="shared" si="0"/>
        <v>4</v>
      </c>
      <c r="D6">
        <f t="shared" si="1"/>
        <v>3</v>
      </c>
      <c r="E6">
        <f t="shared" si="2"/>
        <v>12</v>
      </c>
      <c r="F6">
        <f t="shared" si="3"/>
        <v>19</v>
      </c>
    </row>
    <row r="7" spans="1:6">
      <c r="A7" s="4">
        <v>4</v>
      </c>
      <c r="B7" s="4">
        <v>32</v>
      </c>
      <c r="C7" s="4">
        <f t="shared" si="0"/>
        <v>4</v>
      </c>
      <c r="D7" s="4">
        <f t="shared" si="1"/>
        <v>4</v>
      </c>
      <c r="E7" s="4">
        <f t="shared" si="2"/>
        <v>16</v>
      </c>
      <c r="F7" s="4">
        <f t="shared" si="3"/>
        <v>24</v>
      </c>
    </row>
    <row r="8" spans="1:6">
      <c r="A8" s="5">
        <v>8</v>
      </c>
      <c r="B8" s="5">
        <v>8</v>
      </c>
      <c r="C8" s="5">
        <f t="shared" si="0"/>
        <v>8</v>
      </c>
      <c r="D8" s="5">
        <f t="shared" si="1"/>
        <v>1</v>
      </c>
      <c r="E8" s="5">
        <f t="shared" si="2"/>
        <v>8</v>
      </c>
      <c r="F8" s="5">
        <f t="shared" si="3"/>
        <v>17</v>
      </c>
    </row>
    <row r="9" spans="1:6">
      <c r="A9" s="6">
        <v>8</v>
      </c>
      <c r="B9" s="6">
        <v>16</v>
      </c>
      <c r="C9" s="6">
        <f t="shared" si="0"/>
        <v>8</v>
      </c>
      <c r="D9" s="6">
        <f t="shared" si="1"/>
        <v>2</v>
      </c>
      <c r="E9" s="6">
        <f t="shared" si="2"/>
        <v>16</v>
      </c>
      <c r="F9" s="6">
        <f t="shared" si="3"/>
        <v>26</v>
      </c>
    </row>
    <row r="10" spans="1:6">
      <c r="A10" s="5">
        <v>8</v>
      </c>
      <c r="B10" s="7">
        <v>24</v>
      </c>
      <c r="C10" s="7">
        <f t="shared" si="0"/>
        <v>8</v>
      </c>
      <c r="D10" s="7">
        <f t="shared" si="1"/>
        <v>3</v>
      </c>
      <c r="E10" s="7">
        <f t="shared" si="2"/>
        <v>24</v>
      </c>
      <c r="F10" s="7">
        <f t="shared" si="3"/>
        <v>35</v>
      </c>
    </row>
    <row r="11" spans="1:6">
      <c r="A11">
        <v>9</v>
      </c>
      <c r="B11">
        <v>16</v>
      </c>
      <c r="C11">
        <f t="shared" si="0"/>
        <v>9</v>
      </c>
      <c r="D11">
        <f t="shared" si="1"/>
        <v>2</v>
      </c>
      <c r="E11">
        <f t="shared" si="2"/>
        <v>18</v>
      </c>
      <c r="F11">
        <f t="shared" si="3"/>
        <v>29</v>
      </c>
    </row>
    <row r="12" spans="1:6">
      <c r="A12">
        <v>10</v>
      </c>
      <c r="B12">
        <v>16</v>
      </c>
      <c r="C12">
        <f t="shared" si="0"/>
        <v>10</v>
      </c>
      <c r="D12">
        <f t="shared" si="1"/>
        <v>2</v>
      </c>
      <c r="E12">
        <f t="shared" si="2"/>
        <v>20</v>
      </c>
      <c r="F12">
        <f t="shared" si="3"/>
        <v>32</v>
      </c>
    </row>
  </sheetData>
  <mergeCells count="2">
    <mergeCell ref="B1:E1"/>
    <mergeCell ref="A2:F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zoomScale="220" zoomScaleNormal="220" workbookViewId="0">
      <selection activeCell="G6" sqref="G6"/>
    </sheetView>
  </sheetViews>
  <sheetFormatPr defaultColWidth="8.88888888888889" defaultRowHeight="14.4" outlineLevelCol="6"/>
  <cols>
    <col min="1" max="6" width="6.66666666666667" customWidth="1"/>
    <col min="7" max="7" width="7.66666666666667" customWidth="1"/>
  </cols>
  <sheetData>
    <row r="1" spans="1:7">
      <c r="B1" s="1" t="s">
        <v>9</v>
      </c>
      <c r="C1" s="1"/>
      <c r="D1" s="2"/>
      <c r="E1" s="2"/>
      <c r="F1" s="2"/>
    </row>
    <row r="2" spans="1:7">
      <c r="A2" s="2" t="s">
        <v>1</v>
      </c>
      <c r="B2" s="2"/>
      <c r="C2" s="2"/>
      <c r="D2" s="2"/>
      <c r="E2" s="2"/>
      <c r="F2" s="2"/>
      <c r="G2" s="2"/>
    </row>
    <row r="3" spans="1:7">
      <c r="A3" t="s">
        <v>2</v>
      </c>
      <c r="B3" t="s">
        <v>3</v>
      </c>
      <c r="C3" t="s">
        <v>10</v>
      </c>
      <c r="D3" s="3" t="s">
        <v>11</v>
      </c>
      <c r="E3" s="3" t="s">
        <v>12</v>
      </c>
      <c r="F3" s="3" t="s">
        <v>13</v>
      </c>
      <c r="G3" t="s">
        <v>14</v>
      </c>
    </row>
    <row r="4" spans="1:7">
      <c r="A4">
        <v>12</v>
      </c>
      <c r="B4">
        <v>24</v>
      </c>
      <c r="C4">
        <v>105</v>
      </c>
      <c r="D4">
        <f t="shared" ref="D4:D9" si="0">A4*C4</f>
        <v>1260</v>
      </c>
      <c r="E4">
        <f t="shared" ref="E4:E9" si="1">C4*B4</f>
        <v>2520</v>
      </c>
      <c r="F4">
        <f t="shared" ref="F4:F9" si="2">A4*B4</f>
        <v>288</v>
      </c>
      <c r="G4">
        <f t="shared" ref="G4:G9" si="3">SUM(D4:F4)*8</f>
        <v>32544</v>
      </c>
    </row>
    <row r="5" spans="1:7">
      <c r="A5">
        <v>16</v>
      </c>
      <c r="B5">
        <v>32</v>
      </c>
      <c r="C5">
        <v>74</v>
      </c>
      <c r="D5">
        <f t="shared" si="0"/>
        <v>1184</v>
      </c>
      <c r="E5">
        <f t="shared" si="1"/>
        <v>2368</v>
      </c>
      <c r="F5">
        <f t="shared" si="2"/>
        <v>512</v>
      </c>
      <c r="G5">
        <f t="shared" si="3"/>
        <v>32512</v>
      </c>
    </row>
    <row r="6" spans="1:7">
      <c r="A6" s="4">
        <v>32</v>
      </c>
      <c r="B6" s="4">
        <v>32</v>
      </c>
      <c r="C6" s="4">
        <v>48</v>
      </c>
      <c r="D6" s="4">
        <f t="shared" si="0"/>
        <v>1536</v>
      </c>
      <c r="E6" s="4">
        <f t="shared" si="1"/>
        <v>1536</v>
      </c>
      <c r="F6" s="4">
        <f t="shared" si="2"/>
        <v>1024</v>
      </c>
      <c r="G6" s="4">
        <f t="shared" si="3"/>
        <v>32768</v>
      </c>
    </row>
    <row r="7" spans="1:7">
      <c r="A7">
        <v>16</v>
      </c>
      <c r="B7">
        <v>16</v>
      </c>
      <c r="C7">
        <v>120</v>
      </c>
      <c r="D7">
        <f t="shared" si="0"/>
        <v>1920</v>
      </c>
      <c r="E7">
        <f t="shared" si="1"/>
        <v>1920</v>
      </c>
      <c r="F7">
        <f t="shared" si="2"/>
        <v>256</v>
      </c>
      <c r="G7">
        <f t="shared" si="3"/>
        <v>32768</v>
      </c>
    </row>
    <row r="8" spans="1:7">
      <c r="A8">
        <v>36</v>
      </c>
      <c r="B8">
        <v>36</v>
      </c>
      <c r="C8">
        <v>36</v>
      </c>
      <c r="D8">
        <f t="shared" si="0"/>
        <v>1296</v>
      </c>
      <c r="E8">
        <f t="shared" si="1"/>
        <v>1296</v>
      </c>
      <c r="F8">
        <f t="shared" si="2"/>
        <v>1296</v>
      </c>
      <c r="G8">
        <f t="shared" si="3"/>
        <v>31104</v>
      </c>
    </row>
    <row r="9" spans="1:7">
      <c r="A9">
        <v>40</v>
      </c>
      <c r="B9">
        <v>40</v>
      </c>
      <c r="C9">
        <v>40</v>
      </c>
      <c r="D9">
        <f t="shared" si="0"/>
        <v>1600</v>
      </c>
      <c r="E9">
        <f t="shared" si="1"/>
        <v>1600</v>
      </c>
      <c r="F9">
        <f t="shared" si="2"/>
        <v>1600</v>
      </c>
      <c r="G9">
        <f t="shared" si="3"/>
        <v>38400</v>
      </c>
    </row>
  </sheetData>
  <mergeCells count="2">
    <mergeCell ref="B1:F1"/>
    <mergeCell ref="A2:G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AVX256</vt:lpstr>
      <vt:lpstr>AVX512</vt:lpstr>
      <vt:lpstr>GEMM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0806</cp:lastModifiedBy>
  <dcterms:created xsi:type="dcterms:W3CDTF">2023-05-12T11:15:00Z</dcterms:created>
  <dcterms:modified xsi:type="dcterms:W3CDTF">2026-07-27T10:38:11Z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2052-12.1.0.25222</vt:lpwstr>
  </property>
  <property fmtid="{D5CDD505-2E9C-101B-9397-08002B2CF9AE}" pid="3" name="ICV">
    <vt:lpwstr>BD6B499ACF0E4BAEBF92DB9D5EC35F34_12</vt:lpwstr>
  </property>
  <property fmtid="{D5CDD505-2E9C-101B-9397-08002B2CF9AE}" pid="4" name="CalculationRule">
    <vt:i4>0</vt:i4>
  </property>
</Properties>
</file>